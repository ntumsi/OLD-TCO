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.Hogan\Desktop\FMO\"/>
    </mc:Choice>
  </mc:AlternateContent>
  <bookViews>
    <workbookView xWindow="0" yWindow="0" windowWidth="24000" windowHeight="8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6" i="1"/>
  <c r="Q7" i="1"/>
  <c r="Q8" i="1"/>
  <c r="Q9" i="1"/>
  <c r="Q10" i="1"/>
  <c r="Q11" i="1"/>
  <c r="Q6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7" i="1"/>
  <c r="K8" i="1"/>
  <c r="K9" i="1"/>
  <c r="K10" i="1"/>
  <c r="K11" i="1"/>
  <c r="K12" i="1"/>
  <c r="K13" i="1"/>
  <c r="K14" i="1"/>
  <c r="K15" i="1"/>
  <c r="K16" i="1"/>
  <c r="K7" i="1"/>
  <c r="J8" i="1"/>
  <c r="J9" i="1"/>
  <c r="J10" i="1"/>
  <c r="J11" i="1"/>
  <c r="J12" i="1"/>
  <c r="J13" i="1"/>
  <c r="J7" i="1"/>
  <c r="I8" i="1"/>
  <c r="I9" i="1"/>
  <c r="I10" i="1"/>
  <c r="I11" i="1"/>
  <c r="I7" i="1"/>
  <c r="H8" i="1"/>
  <c r="H9" i="1"/>
  <c r="H7" i="1"/>
  <c r="G9" i="1"/>
  <c r="G10" i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F36" i="1"/>
  <c r="F34" i="1"/>
  <c r="F35" i="1" s="1"/>
  <c r="F23" i="1"/>
  <c r="F24" i="1"/>
  <c r="F25" i="1" s="1"/>
  <c r="F26" i="1" s="1"/>
  <c r="F27" i="1" s="1"/>
  <c r="F28" i="1" s="1"/>
  <c r="F29" i="1" s="1"/>
  <c r="F30" i="1" s="1"/>
  <c r="F31" i="1" s="1"/>
  <c r="F32" i="1" s="1"/>
  <c r="F33" i="1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8" i="1"/>
  <c r="G8" i="1"/>
  <c r="A13" i="1"/>
  <c r="A12" i="1"/>
  <c r="A11" i="1"/>
  <c r="A10" i="1"/>
  <c r="A9" i="1"/>
  <c r="B13" i="1"/>
  <c r="B12" i="1"/>
  <c r="B11" i="1"/>
  <c r="B10" i="1"/>
  <c r="B9" i="1"/>
  <c r="A8" i="1"/>
</calcChain>
</file>

<file path=xl/sharedStrings.xml><?xml version="1.0" encoding="utf-8"?>
<sst xmlns="http://schemas.openxmlformats.org/spreadsheetml/2006/main" count="19" uniqueCount="19">
  <si>
    <t>Year</t>
  </si>
  <si>
    <t>Mid-Year Exponent</t>
  </si>
  <si>
    <t>3 Year</t>
  </si>
  <si>
    <t>5 Year</t>
  </si>
  <si>
    <t>7 Year</t>
  </si>
  <si>
    <t>10 Year</t>
  </si>
  <si>
    <t>20 Year</t>
  </si>
  <si>
    <t>30 Year</t>
  </si>
  <si>
    <t>Undiscounted Cost</t>
  </si>
  <si>
    <t>Discounted Cost</t>
  </si>
  <si>
    <t>PV</t>
  </si>
  <si>
    <t>Factor</t>
  </si>
  <si>
    <r>
      <t>PVF</t>
    </r>
    <r>
      <rPr>
        <vertAlign val="subscript"/>
        <sz val="11"/>
        <color theme="1"/>
        <rFont val="Calibri"/>
        <family val="2"/>
        <scheme val="minor"/>
      </rPr>
      <t>1</t>
    </r>
  </si>
  <si>
    <r>
      <t>PVF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</si>
  <si>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t>PVF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</si>
  <si>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t>PVF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</si>
  <si>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PVF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</si>
  <si>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r>
      <t>PVF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/>
    </r>
  </si>
  <si>
    <r>
      <t>PVF</t>
    </r>
    <r>
      <rPr>
        <vertAlign val="subscript"/>
        <sz val="11"/>
        <color theme="1"/>
        <rFont val="Calibri"/>
        <family val="2"/>
        <scheme val="minor"/>
      </rPr>
      <t xml:space="preserve">7  </t>
    </r>
    <r>
      <rPr>
        <sz val="11"/>
        <color theme="1"/>
        <rFont val="Calibri"/>
        <family val="2"/>
        <scheme val="minor"/>
      </rPr>
      <t>is not required for a six-year project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</si>
</sst>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D7E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0" borderId="0" xfId="0" applyFont="1"/>
    <xf numFmtId="0" fontId="0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wrapText="1"/>
    </xf>
    <xf numFmtId="44" fontId="0" fillId="0" borderId="1" xfId="1" applyFont="1" applyBorder="1" applyAlignment="1">
      <alignment horizontal="center"/>
    </xf>
    <xf numFmtId="0" fontId="0" fillId="0" borderId="1" xfId="0" applyFont="1" applyFill="1" applyBorder="1" applyAlignment="1"/>
    <xf numFmtId="0" fontId="0" fillId="0" borderId="1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0D7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36"/>
  <sheetViews>
    <sheetView tabSelected="1" topLeftCell="B1" workbookViewId="0">
      <selection activeCell="H10" sqref="H10"/>
    </sheetView>
  </sheetViews>
  <sheetFormatPr defaultRowHeight="15" x14ac:dyDescent="0.25"/>
  <cols>
    <col min="8" max="9" width="7.5703125" bestFit="1" customWidth="1"/>
    <col min="16" max="16" width="10.28515625" customWidth="1"/>
    <col min="17" max="17" width="7.5703125" bestFit="1" customWidth="1"/>
    <col min="18" max="18" width="17.28515625" customWidth="1"/>
    <col min="19" max="19" width="17.5703125" customWidth="1"/>
  </cols>
  <sheetData>
    <row r="5" spans="1:19" x14ac:dyDescent="0.25">
      <c r="A5">
        <v>1.6E-2</v>
      </c>
      <c r="F5" s="7" t="s">
        <v>0</v>
      </c>
      <c r="G5" s="4" t="s">
        <v>1</v>
      </c>
      <c r="H5" s="6" t="s">
        <v>2</v>
      </c>
      <c r="I5" s="6" t="s">
        <v>3</v>
      </c>
      <c r="J5" s="6" t="s">
        <v>4</v>
      </c>
      <c r="K5" s="6" t="s">
        <v>5</v>
      </c>
      <c r="L5" s="6" t="s">
        <v>6</v>
      </c>
      <c r="M5" s="6" t="s">
        <v>7</v>
      </c>
      <c r="P5" s="10" t="s">
        <v>10</v>
      </c>
      <c r="Q5" s="10" t="s">
        <v>11</v>
      </c>
      <c r="R5" s="10" t="s">
        <v>8</v>
      </c>
      <c r="S5" s="10" t="s">
        <v>9</v>
      </c>
    </row>
    <row r="6" spans="1:19" ht="15" customHeight="1" x14ac:dyDescent="0.35">
      <c r="F6" s="8"/>
      <c r="G6" s="5"/>
      <c r="H6" s="6">
        <v>1</v>
      </c>
      <c r="I6" s="6">
        <v>1.3</v>
      </c>
      <c r="J6" s="6">
        <v>1.6</v>
      </c>
      <c r="K6" s="6">
        <v>1.8</v>
      </c>
      <c r="L6" s="6">
        <v>2.2000000000000002</v>
      </c>
      <c r="M6" s="6">
        <v>2.6</v>
      </c>
      <c r="P6" s="11" t="s">
        <v>12</v>
      </c>
      <c r="Q6" s="3">
        <f>J7</f>
        <v>0.99209473766568124</v>
      </c>
      <c r="R6" s="12">
        <v>1000</v>
      </c>
      <c r="S6" s="12">
        <f>R6*Q6</f>
        <v>992.09473766568124</v>
      </c>
    </row>
    <row r="7" spans="1:19" ht="18" x14ac:dyDescent="0.35">
      <c r="F7" s="2">
        <v>1</v>
      </c>
      <c r="G7" s="2">
        <v>0.5</v>
      </c>
      <c r="H7" s="3">
        <f>1/(1+H$6/100)^$G7</f>
        <v>0.99503719020998926</v>
      </c>
      <c r="I7" s="3">
        <f>1/(1+I$6/100)^$G7</f>
        <v>0.99356269615685144</v>
      </c>
      <c r="J7" s="3">
        <f>1/(1+J$6/100)^$G7</f>
        <v>0.99209473766568124</v>
      </c>
      <c r="K7" s="3">
        <f>1/(1+K$6/100)^$G7</f>
        <v>0.99111970574691066</v>
      </c>
      <c r="L7" s="3">
        <f>1/(1+L$6/100)^$G7</f>
        <v>0.98917823531116333</v>
      </c>
      <c r="M7" s="3">
        <f>1/(1+M$6/100)^$G7</f>
        <v>0.98724812959848718</v>
      </c>
      <c r="P7" s="11" t="s">
        <v>13</v>
      </c>
      <c r="Q7" s="3">
        <f t="shared" ref="Q7:Q11" si="0">J8</f>
        <v>0.97647119848984376</v>
      </c>
      <c r="R7" s="12">
        <v>1000</v>
      </c>
      <c r="S7" s="12">
        <f t="shared" ref="S7:S11" si="1">R7*Q7</f>
        <v>976.4711984898438</v>
      </c>
    </row>
    <row r="8" spans="1:19" ht="18" x14ac:dyDescent="0.35">
      <c r="A8" s="1">
        <f>1/(1+$A$5)^B8</f>
        <v>0.99209473766568124</v>
      </c>
      <c r="B8">
        <v>0.5</v>
      </c>
      <c r="F8" s="2">
        <f>F7+1</f>
        <v>2</v>
      </c>
      <c r="G8" s="2">
        <f>G7+1</f>
        <v>1.5</v>
      </c>
      <c r="H8" s="3">
        <f t="shared" ref="H8:M23" si="2">1/(1+H$6/100)^$G8</f>
        <v>0.9851853368415735</v>
      </c>
      <c r="I8" s="3">
        <f t="shared" si="2"/>
        <v>0.98081213835819503</v>
      </c>
      <c r="J8" s="3">
        <f t="shared" si="2"/>
        <v>0.97647119848984376</v>
      </c>
      <c r="K8" s="3">
        <f t="shared" si="2"/>
        <v>0.97359499582211262</v>
      </c>
      <c r="L8" s="3">
        <f t="shared" si="2"/>
        <v>0.96788477036317355</v>
      </c>
      <c r="M8" s="3">
        <f t="shared" si="2"/>
        <v>0.96223014580749244</v>
      </c>
      <c r="P8" s="11" t="s">
        <v>14</v>
      </c>
      <c r="Q8" s="3">
        <f t="shared" si="0"/>
        <v>0.96109369930102739</v>
      </c>
      <c r="R8" s="12">
        <v>1000</v>
      </c>
      <c r="S8" s="12">
        <f t="shared" si="1"/>
        <v>961.09369930102741</v>
      </c>
    </row>
    <row r="9" spans="1:19" ht="18" x14ac:dyDescent="0.35">
      <c r="A9" s="1">
        <f>1/(1+$A$5)^B9</f>
        <v>0.97647119848984376</v>
      </c>
      <c r="B9">
        <f>B8+1</f>
        <v>1.5</v>
      </c>
      <c r="F9" s="2">
        <f t="shared" ref="F9:F36" si="3">F8+1</f>
        <v>3</v>
      </c>
      <c r="G9" s="2">
        <f t="shared" ref="G9:G36" si="4">G8+1</f>
        <v>2.5</v>
      </c>
      <c r="H9" s="3">
        <f t="shared" si="2"/>
        <v>0.97543102657581526</v>
      </c>
      <c r="I9" s="3">
        <f t="shared" si="2"/>
        <v>0.96822521062013345</v>
      </c>
      <c r="J9" s="3">
        <f t="shared" si="2"/>
        <v>0.96109369930102739</v>
      </c>
      <c r="K9" s="3">
        <f t="shared" si="2"/>
        <v>0.95638015306690838</v>
      </c>
      <c r="L9" s="3">
        <f t="shared" si="2"/>
        <v>0.94704967745907376</v>
      </c>
      <c r="M9" s="3">
        <f t="shared" si="2"/>
        <v>0.9378461460112012</v>
      </c>
      <c r="P9" s="11" t="s">
        <v>15</v>
      </c>
      <c r="Q9" s="3">
        <f t="shared" si="0"/>
        <v>0.94595836545376699</v>
      </c>
      <c r="R9" s="12">
        <v>1000</v>
      </c>
      <c r="S9" s="12">
        <f t="shared" si="1"/>
        <v>945.95836545376699</v>
      </c>
    </row>
    <row r="10" spans="1:19" ht="18" x14ac:dyDescent="0.35">
      <c r="A10" s="1">
        <f>1/(1+$A$5)^B10</f>
        <v>0.96109369930102739</v>
      </c>
      <c r="B10">
        <f>B9+1</f>
        <v>2.5</v>
      </c>
      <c r="F10" s="2">
        <f t="shared" si="3"/>
        <v>4</v>
      </c>
      <c r="G10" s="2">
        <f t="shared" si="4"/>
        <v>3.5</v>
      </c>
      <c r="H10" s="2"/>
      <c r="I10" s="3">
        <f t="shared" si="2"/>
        <v>0.95579981305047723</v>
      </c>
      <c r="J10" s="3">
        <f t="shared" si="2"/>
        <v>0.94595836545376699</v>
      </c>
      <c r="K10" s="3">
        <f t="shared" si="2"/>
        <v>0.93946969849401596</v>
      </c>
      <c r="L10" s="3">
        <f t="shared" si="2"/>
        <v>0.92666308949028753</v>
      </c>
      <c r="M10" s="3">
        <f t="shared" si="2"/>
        <v>0.91408006433840272</v>
      </c>
      <c r="P10" s="11" t="s">
        <v>16</v>
      </c>
      <c r="Q10" s="3">
        <f t="shared" si="0"/>
        <v>0.93106138332063693</v>
      </c>
      <c r="R10" s="12">
        <v>1000</v>
      </c>
      <c r="S10" s="12">
        <f t="shared" si="1"/>
        <v>931.06138332063688</v>
      </c>
    </row>
    <row r="11" spans="1:19" ht="18" x14ac:dyDescent="0.35">
      <c r="A11" s="1">
        <f>1/(1+$A$5)^B11</f>
        <v>0.94595836545376699</v>
      </c>
      <c r="B11">
        <f>B10+1</f>
        <v>3.5</v>
      </c>
      <c r="F11" s="2">
        <f t="shared" si="3"/>
        <v>5</v>
      </c>
      <c r="G11" s="2">
        <f t="shared" si="4"/>
        <v>4.5</v>
      </c>
      <c r="H11" s="2"/>
      <c r="I11" s="3">
        <f t="shared" si="2"/>
        <v>0.94353387270530831</v>
      </c>
      <c r="J11" s="3">
        <f t="shared" si="2"/>
        <v>0.93106138332063693</v>
      </c>
      <c r="K11" s="3">
        <f t="shared" si="2"/>
        <v>0.9228582499941218</v>
      </c>
      <c r="L11" s="3">
        <f t="shared" si="2"/>
        <v>0.906715351751749</v>
      </c>
      <c r="M11" s="3">
        <f t="shared" si="2"/>
        <v>0.89091624204522679</v>
      </c>
      <c r="P11" s="11" t="s">
        <v>17</v>
      </c>
      <c r="Q11" s="3">
        <f t="shared" si="0"/>
        <v>0.9163989993313354</v>
      </c>
      <c r="R11" s="12">
        <v>1000</v>
      </c>
      <c r="S11" s="12">
        <f t="shared" si="1"/>
        <v>916.3989993313354</v>
      </c>
    </row>
    <row r="12" spans="1:19" ht="18" customHeight="1" x14ac:dyDescent="0.35">
      <c r="A12" s="1">
        <f>1/(1+$A$5)^B12</f>
        <v>0.93106138332063693</v>
      </c>
      <c r="B12">
        <f>B11+1</f>
        <v>4.5</v>
      </c>
      <c r="F12" s="2">
        <f t="shared" si="3"/>
        <v>6</v>
      </c>
      <c r="G12" s="2">
        <f t="shared" si="4"/>
        <v>5.5</v>
      </c>
      <c r="H12" s="2"/>
      <c r="I12" s="2"/>
      <c r="J12" s="3">
        <f t="shared" si="2"/>
        <v>0.9163989993313354</v>
      </c>
      <c r="K12" s="3">
        <f t="shared" si="2"/>
        <v>0.90654052062290935</v>
      </c>
      <c r="L12" s="3">
        <f t="shared" si="2"/>
        <v>0.88719701736961731</v>
      </c>
      <c r="M12" s="3">
        <f t="shared" si="2"/>
        <v>0.86833941719807672</v>
      </c>
      <c r="P12" s="14" t="s">
        <v>18</v>
      </c>
      <c r="Q12" s="13"/>
      <c r="R12" s="13"/>
      <c r="S12" s="13"/>
    </row>
    <row r="13" spans="1:19" x14ac:dyDescent="0.25">
      <c r="A13" s="1">
        <f>1/(1+$A$5)^B13</f>
        <v>0.9163989993313354</v>
      </c>
      <c r="B13">
        <f>B12+1</f>
        <v>5.5</v>
      </c>
      <c r="F13" s="2">
        <f t="shared" si="3"/>
        <v>7</v>
      </c>
      <c r="G13" s="2">
        <f t="shared" si="4"/>
        <v>6.5</v>
      </c>
      <c r="H13" s="2"/>
      <c r="I13" s="2"/>
      <c r="J13" s="3">
        <f t="shared" si="2"/>
        <v>0.90196751902690497</v>
      </c>
      <c r="K13" s="3">
        <f t="shared" si="2"/>
        <v>0.89051131691837848</v>
      </c>
      <c r="L13" s="3">
        <f t="shared" si="2"/>
        <v>0.86809884282741423</v>
      </c>
      <c r="M13" s="3">
        <f t="shared" si="2"/>
        <v>0.84633471461800858</v>
      </c>
    </row>
    <row r="14" spans="1:19" ht="15.75" x14ac:dyDescent="0.25">
      <c r="F14" s="2">
        <f t="shared" si="3"/>
        <v>8</v>
      </c>
      <c r="G14" s="2">
        <f t="shared" si="4"/>
        <v>7.5</v>
      </c>
      <c r="H14" s="2"/>
      <c r="I14" s="2"/>
      <c r="J14" s="2"/>
      <c r="K14" s="3">
        <f t="shared" si="2"/>
        <v>0.87476553724791606</v>
      </c>
      <c r="L14" s="3">
        <f t="shared" si="2"/>
        <v>0.84941178358846792</v>
      </c>
      <c r="M14" s="3">
        <f t="shared" si="2"/>
        <v>0.82488763607993032</v>
      </c>
      <c r="P14" s="9"/>
    </row>
    <row r="15" spans="1:19" x14ac:dyDescent="0.25">
      <c r="F15" s="2">
        <f t="shared" si="3"/>
        <v>9</v>
      </c>
      <c r="G15" s="2">
        <f t="shared" si="4"/>
        <v>8.5</v>
      </c>
      <c r="H15" s="2"/>
      <c r="I15" s="2"/>
      <c r="J15" s="2"/>
      <c r="K15" s="3">
        <f t="shared" si="2"/>
        <v>0.85929817018459331</v>
      </c>
      <c r="L15" s="3">
        <f t="shared" si="2"/>
        <v>0.83112698981259103</v>
      </c>
      <c r="M15" s="3">
        <f t="shared" si="2"/>
        <v>0.80398405076016599</v>
      </c>
    </row>
    <row r="16" spans="1:19" x14ac:dyDescent="0.25">
      <c r="F16" s="2">
        <f t="shared" si="3"/>
        <v>10</v>
      </c>
      <c r="G16" s="2">
        <f t="shared" si="4"/>
        <v>9.5</v>
      </c>
      <c r="H16" s="2"/>
      <c r="I16" s="2"/>
      <c r="J16" s="2"/>
      <c r="K16" s="3">
        <f t="shared" si="2"/>
        <v>0.84410429291217415</v>
      </c>
      <c r="L16" s="3">
        <f t="shared" si="2"/>
        <v>0.81323580216496172</v>
      </c>
      <c r="M16" s="3">
        <f t="shared" si="2"/>
        <v>0.78361018592608767</v>
      </c>
    </row>
    <row r="17" spans="6:13" x14ac:dyDescent="0.25">
      <c r="F17" s="2">
        <f t="shared" si="3"/>
        <v>11</v>
      </c>
      <c r="G17" s="2">
        <f t="shared" si="4"/>
        <v>10.5</v>
      </c>
      <c r="H17" s="2"/>
      <c r="I17" s="2"/>
      <c r="J17" s="2"/>
      <c r="K17" s="2"/>
      <c r="L17" s="3">
        <f t="shared" si="2"/>
        <v>0.79572974771522686</v>
      </c>
      <c r="M17" s="3">
        <f t="shared" si="2"/>
        <v>0.76375261786168391</v>
      </c>
    </row>
    <row r="18" spans="6:13" x14ac:dyDescent="0.25">
      <c r="F18" s="2">
        <f t="shared" si="3"/>
        <v>12</v>
      </c>
      <c r="G18" s="2">
        <f t="shared" si="4"/>
        <v>11.5</v>
      </c>
      <c r="H18" s="2"/>
      <c r="I18" s="2"/>
      <c r="J18" s="2"/>
      <c r="K18" s="2"/>
      <c r="L18" s="3">
        <f t="shared" si="2"/>
        <v>0.77860053592487943</v>
      </c>
      <c r="M18" s="3">
        <f t="shared" si="2"/>
        <v>0.74439826302308365</v>
      </c>
    </row>
    <row r="19" spans="6:13" x14ac:dyDescent="0.25">
      <c r="F19" s="2">
        <f t="shared" si="3"/>
        <v>13</v>
      </c>
      <c r="G19" s="2">
        <f t="shared" si="4"/>
        <v>12.5</v>
      </c>
      <c r="H19" s="2"/>
      <c r="I19" s="2"/>
      <c r="J19" s="2"/>
      <c r="K19" s="2"/>
      <c r="L19" s="3">
        <f t="shared" si="2"/>
        <v>0.76184005472101701</v>
      </c>
      <c r="M19" s="3">
        <f t="shared" si="2"/>
        <v>0.72553436941821015</v>
      </c>
    </row>
    <row r="20" spans="6:13" x14ac:dyDescent="0.25">
      <c r="F20" s="2">
        <f t="shared" si="3"/>
        <v>14</v>
      </c>
      <c r="G20" s="2">
        <f t="shared" si="4"/>
        <v>13.5</v>
      </c>
      <c r="H20" s="2"/>
      <c r="I20" s="2"/>
      <c r="J20" s="2"/>
      <c r="K20" s="2"/>
      <c r="L20" s="3">
        <f t="shared" si="2"/>
        <v>0.74544036665461555</v>
      </c>
      <c r="M20" s="3">
        <f t="shared" si="2"/>
        <v>0.70714850820488317</v>
      </c>
    </row>
    <row r="21" spans="6:13" x14ac:dyDescent="0.25">
      <c r="F21" s="2">
        <f t="shared" si="3"/>
        <v>15</v>
      </c>
      <c r="G21" s="2">
        <f t="shared" si="4"/>
        <v>14.5</v>
      </c>
      <c r="H21" s="2"/>
      <c r="I21" s="2"/>
      <c r="J21" s="2"/>
      <c r="K21" s="2"/>
      <c r="L21" s="3">
        <f t="shared" si="2"/>
        <v>0.72939370514150248</v>
      </c>
      <c r="M21" s="3">
        <f t="shared" si="2"/>
        <v>0.68922856550183553</v>
      </c>
    </row>
    <row r="22" spans="6:13" x14ac:dyDescent="0.25">
      <c r="F22" s="2">
        <f t="shared" si="3"/>
        <v>16</v>
      </c>
      <c r="G22" s="2">
        <f t="shared" si="4"/>
        <v>15.5</v>
      </c>
      <c r="H22" s="2"/>
      <c r="I22" s="2"/>
      <c r="J22" s="2"/>
      <c r="K22" s="2"/>
      <c r="L22" s="3">
        <f t="shared" si="2"/>
        <v>0.71369247078424902</v>
      </c>
      <c r="M22" s="3">
        <f t="shared" si="2"/>
        <v>0.6717627344072471</v>
      </c>
    </row>
    <row r="23" spans="6:13" x14ac:dyDescent="0.25">
      <c r="F23" s="2">
        <f>F22+1</f>
        <v>17</v>
      </c>
      <c r="G23" s="2">
        <f t="shared" si="4"/>
        <v>16.5</v>
      </c>
      <c r="H23" s="2"/>
      <c r="I23" s="2"/>
      <c r="J23" s="2"/>
      <c r="K23" s="2"/>
      <c r="L23" s="3">
        <f t="shared" si="2"/>
        <v>0.69832922777323769</v>
      </c>
      <c r="M23" s="3">
        <f t="shared" si="2"/>
        <v>0.654739507219539</v>
      </c>
    </row>
    <row r="24" spans="6:13" x14ac:dyDescent="0.25">
      <c r="F24" s="2">
        <f t="shared" si="3"/>
        <v>18</v>
      </c>
      <c r="G24" s="2">
        <f t="shared" si="4"/>
        <v>17.5</v>
      </c>
      <c r="H24" s="2"/>
      <c r="I24" s="2"/>
      <c r="J24" s="2"/>
      <c r="K24" s="2"/>
      <c r="L24" s="3">
        <f t="shared" ref="L24:M36" si="5">1/(1+L$6/100)^$G24</f>
        <v>0.68329670036520318</v>
      </c>
      <c r="M24" s="3">
        <f t="shared" si="5"/>
        <v>0.63814766785530119</v>
      </c>
    </row>
    <row r="25" spans="6:13" x14ac:dyDescent="0.25">
      <c r="F25" s="2">
        <f t="shared" si="3"/>
        <v>19</v>
      </c>
      <c r="G25" s="2">
        <f t="shared" si="4"/>
        <v>18.5</v>
      </c>
      <c r="H25" s="2"/>
      <c r="I25" s="2"/>
      <c r="J25" s="2"/>
      <c r="K25" s="2"/>
      <c r="L25" s="3">
        <f t="shared" si="5"/>
        <v>0.66858776943757647</v>
      </c>
      <c r="M25" s="3">
        <f t="shared" si="5"/>
        <v>0.62197628445935782</v>
      </c>
    </row>
    <row r="26" spans="6:13" x14ac:dyDescent="0.25">
      <c r="F26" s="2">
        <f t="shared" si="3"/>
        <v>20</v>
      </c>
      <c r="G26" s="2">
        <f t="shared" si="4"/>
        <v>19.5</v>
      </c>
      <c r="H26" s="2"/>
      <c r="I26" s="2"/>
      <c r="J26" s="2"/>
      <c r="K26" s="2"/>
      <c r="L26" s="3">
        <f t="shared" si="5"/>
        <v>0.65419546911700244</v>
      </c>
      <c r="M26" s="3">
        <f t="shared" si="5"/>
        <v>0.60621470220210316</v>
      </c>
    </row>
    <row r="27" spans="6:13" x14ac:dyDescent="0.25">
      <c r="F27" s="2">
        <f t="shared" si="3"/>
        <v>21</v>
      </c>
      <c r="G27" s="2">
        <f t="shared" si="4"/>
        <v>20.5</v>
      </c>
      <c r="H27" s="2"/>
      <c r="I27" s="2"/>
      <c r="J27" s="2"/>
      <c r="K27" s="2"/>
      <c r="L27" s="2"/>
      <c r="M27" s="3">
        <f t="shared" si="5"/>
        <v>0.59085253625935985</v>
      </c>
    </row>
    <row r="28" spans="6:13" x14ac:dyDescent="0.25">
      <c r="F28" s="2">
        <f t="shared" si="3"/>
        <v>22</v>
      </c>
      <c r="G28" s="2">
        <f t="shared" si="4"/>
        <v>21.5</v>
      </c>
      <c r="H28" s="2"/>
      <c r="I28" s="2"/>
      <c r="J28" s="2"/>
      <c r="K28" s="2"/>
      <c r="L28" s="2"/>
      <c r="M28" s="3">
        <f t="shared" si="5"/>
        <v>0.57587966497013621</v>
      </c>
    </row>
    <row r="29" spans="6:13" x14ac:dyDescent="0.25">
      <c r="F29" s="2">
        <f t="shared" si="3"/>
        <v>23</v>
      </c>
      <c r="G29" s="2">
        <f t="shared" si="4"/>
        <v>22.5</v>
      </c>
      <c r="H29" s="2"/>
      <c r="I29" s="2"/>
      <c r="J29" s="2"/>
      <c r="K29" s="2"/>
      <c r="L29" s="2"/>
      <c r="M29" s="3">
        <f t="shared" si="5"/>
        <v>0.5612862231677741</v>
      </c>
    </row>
    <row r="30" spans="6:13" x14ac:dyDescent="0.25">
      <c r="F30" s="2">
        <f t="shared" si="3"/>
        <v>24</v>
      </c>
      <c r="G30" s="2">
        <f t="shared" si="4"/>
        <v>23.5</v>
      </c>
      <c r="H30" s="2"/>
      <c r="I30" s="2"/>
      <c r="J30" s="2"/>
      <c r="K30" s="2"/>
      <c r="L30" s="2"/>
      <c r="M30" s="3">
        <f t="shared" si="5"/>
        <v>0.54706259568009163</v>
      </c>
    </row>
    <row r="31" spans="6:13" x14ac:dyDescent="0.25">
      <c r="F31" s="2">
        <f t="shared" si="3"/>
        <v>25</v>
      </c>
      <c r="G31" s="2">
        <f t="shared" si="4"/>
        <v>24.5</v>
      </c>
      <c r="H31" s="2"/>
      <c r="I31" s="2"/>
      <c r="J31" s="2"/>
      <c r="K31" s="2"/>
      <c r="L31" s="2"/>
      <c r="M31" s="3">
        <f t="shared" si="5"/>
        <v>0.5331994109942414</v>
      </c>
    </row>
    <row r="32" spans="6:13" x14ac:dyDescent="0.25">
      <c r="F32" s="2">
        <f t="shared" si="3"/>
        <v>26</v>
      </c>
      <c r="G32" s="2">
        <f t="shared" si="4"/>
        <v>25.5</v>
      </c>
      <c r="H32" s="2"/>
      <c r="I32" s="2"/>
      <c r="J32" s="2"/>
      <c r="K32" s="2"/>
      <c r="L32" s="2"/>
      <c r="M32" s="3">
        <f t="shared" si="5"/>
        <v>0.51968753508210663</v>
      </c>
    </row>
    <row r="33" spans="6:13" x14ac:dyDescent="0.25">
      <c r="F33" s="2">
        <f t="shared" si="3"/>
        <v>27</v>
      </c>
      <c r="G33" s="2">
        <f t="shared" si="4"/>
        <v>26.5</v>
      </c>
      <c r="H33" s="2"/>
      <c r="I33" s="2"/>
      <c r="J33" s="2"/>
      <c r="K33" s="2"/>
      <c r="L33" s="2"/>
      <c r="M33" s="3">
        <f t="shared" si="5"/>
        <v>0.50651806538217026</v>
      </c>
    </row>
    <row r="34" spans="6:13" x14ac:dyDescent="0.25">
      <c r="F34" s="2">
        <f>F33+1</f>
        <v>28</v>
      </c>
      <c r="G34" s="2">
        <f t="shared" si="4"/>
        <v>27.5</v>
      </c>
      <c r="H34" s="2"/>
      <c r="I34" s="2"/>
      <c r="J34" s="2"/>
      <c r="K34" s="2"/>
      <c r="L34" s="2"/>
      <c r="M34" s="3">
        <f t="shared" si="5"/>
        <v>0.49368232493388914</v>
      </c>
    </row>
    <row r="35" spans="6:13" x14ac:dyDescent="0.25">
      <c r="F35" s="2">
        <f t="shared" si="3"/>
        <v>29</v>
      </c>
      <c r="G35" s="2">
        <f t="shared" si="4"/>
        <v>28.5</v>
      </c>
      <c r="H35" s="2"/>
      <c r="I35" s="2"/>
      <c r="J35" s="2"/>
      <c r="K35" s="2"/>
      <c r="L35" s="2"/>
      <c r="M35" s="3">
        <f t="shared" si="5"/>
        <v>0.48117185666071061</v>
      </c>
    </row>
    <row r="36" spans="6:13" x14ac:dyDescent="0.25">
      <c r="F36" s="2">
        <f t="shared" si="3"/>
        <v>30</v>
      </c>
      <c r="G36" s="2">
        <f t="shared" si="4"/>
        <v>29.5</v>
      </c>
      <c r="H36" s="2"/>
      <c r="I36" s="2"/>
      <c r="J36" s="2"/>
      <c r="K36" s="2"/>
      <c r="L36" s="2"/>
      <c r="M36" s="3">
        <f t="shared" si="5"/>
        <v>0.46897841779796356</v>
      </c>
    </row>
  </sheetData>
  <mergeCells count="2">
    <mergeCell ref="G5:G6"/>
    <mergeCell ref="F5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CALIBRE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Hogan, Dan</dc:creator>
  <cp:lastModifiedBy>Hogan, Dan</cp:lastModifiedBy>
  <dcterms:created xsi:type="dcterms:W3CDTF">2018-03-30T13:12:50Z</dcterms:created>
  <dcterms:modified xsi:type="dcterms:W3CDTF">2018-03-30T16:40:11Z</dcterms:modified>
</cp:coreProperties>
</file>